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ISH_CODE\FOCUSED\SHERYANS_DATASCIENCE\CHAPTER6\"/>
    </mc:Choice>
  </mc:AlternateContent>
  <xr:revisionPtr revIDLastSave="0" documentId="13_ncr:1_{3FDB87C2-83E6-4D3C-BBF0-A0D82F4FA69A}" xr6:coauthVersionLast="36" xr6:coauthVersionMax="36" xr10:uidLastSave="{00000000-0000-0000-0000-000000000000}"/>
  <bookViews>
    <workbookView xWindow="0" yWindow="0" windowWidth="17256" windowHeight="6636" activeTab="2" xr2:uid="{72805D76-E78E-406D-A531-BADD0BB4DEE4}"/>
  </bookViews>
  <sheets>
    <sheet name="FIRST" sheetId="1" r:id="rId1"/>
    <sheet name="SECOND" sheetId="2" r:id="rId2"/>
    <sheet name="THIRD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3" i="3" l="1"/>
  <c r="X4" i="3"/>
  <c r="X5" i="3"/>
  <c r="X6" i="3"/>
  <c r="X2" i="3"/>
  <c r="V2" i="3"/>
  <c r="V3" i="3"/>
  <c r="V4" i="3"/>
  <c r="V5" i="3"/>
  <c r="V6" i="3"/>
  <c r="U3" i="3"/>
  <c r="U4" i="3"/>
  <c r="U5" i="3"/>
  <c r="U6" i="3"/>
  <c r="U2" i="3"/>
  <c r="T3" i="3"/>
  <c r="T4" i="3"/>
  <c r="T5" i="3"/>
  <c r="T6" i="3"/>
  <c r="T2" i="3"/>
  <c r="K2" i="1"/>
  <c r="S3" i="3"/>
  <c r="S4" i="3"/>
  <c r="S5" i="3"/>
  <c r="S6" i="3"/>
  <c r="S2" i="3"/>
  <c r="R3" i="3"/>
  <c r="R4" i="3"/>
  <c r="R5" i="3"/>
  <c r="R6" i="3"/>
  <c r="R2" i="3"/>
  <c r="Q3" i="3"/>
  <c r="Q4" i="3"/>
  <c r="Q5" i="3"/>
  <c r="Q6" i="3"/>
  <c r="Q2" i="3"/>
  <c r="P3" i="3"/>
  <c r="P4" i="3"/>
  <c r="P5" i="3"/>
  <c r="P6" i="3"/>
  <c r="P2" i="3"/>
  <c r="O3" i="3"/>
  <c r="O4" i="3"/>
  <c r="O5" i="3"/>
  <c r="O6" i="3"/>
  <c r="O2" i="3"/>
  <c r="N3" i="3"/>
  <c r="N4" i="3"/>
  <c r="N5" i="3"/>
  <c r="N6" i="3"/>
  <c r="N2" i="3"/>
  <c r="M3" i="3"/>
  <c r="M4" i="3"/>
  <c r="M5" i="3"/>
  <c r="M6" i="3"/>
  <c r="M2" i="3"/>
  <c r="L2" i="3"/>
  <c r="L3" i="3"/>
  <c r="L4" i="3"/>
  <c r="L5" i="3"/>
  <c r="L6" i="3"/>
  <c r="J3" i="3"/>
  <c r="J4" i="3"/>
  <c r="J5" i="3"/>
  <c r="J6" i="3"/>
  <c r="J2" i="3"/>
  <c r="K3" i="3"/>
  <c r="K4" i="3"/>
  <c r="K5" i="3"/>
  <c r="K6" i="3"/>
  <c r="K2" i="3"/>
  <c r="I3" i="3"/>
  <c r="I4" i="3"/>
  <c r="I5" i="3"/>
  <c r="I6" i="3"/>
  <c r="I2" i="3"/>
  <c r="H3" i="3"/>
  <c r="H4" i="3"/>
  <c r="H5" i="3"/>
  <c r="H6" i="3"/>
  <c r="H2" i="3"/>
  <c r="G3" i="3"/>
  <c r="G4" i="3"/>
  <c r="G5" i="3"/>
  <c r="G6" i="3"/>
  <c r="G2" i="3"/>
  <c r="F3" i="3"/>
  <c r="F4" i="3"/>
  <c r="F5" i="3"/>
  <c r="F6" i="3"/>
  <c r="F2" i="3"/>
  <c r="E3" i="3"/>
  <c r="E4" i="3"/>
  <c r="E5" i="3"/>
  <c r="E6" i="3"/>
  <c r="E2" i="3"/>
  <c r="G4" i="2"/>
  <c r="G5" i="2"/>
  <c r="G6" i="2"/>
  <c r="G7" i="2"/>
  <c r="G3" i="2"/>
  <c r="F4" i="2"/>
  <c r="F5" i="2"/>
  <c r="F6" i="2"/>
  <c r="F7" i="2"/>
  <c r="F3" i="2"/>
  <c r="L3" i="1" l="1"/>
  <c r="L4" i="1"/>
  <c r="L5" i="1"/>
  <c r="L6" i="1"/>
  <c r="L7" i="1"/>
  <c r="L8" i="1"/>
  <c r="L9" i="1"/>
  <c r="L10" i="1"/>
  <c r="L11" i="1"/>
  <c r="L2" i="1"/>
  <c r="K3" i="1"/>
  <c r="K4" i="1"/>
  <c r="K5" i="1"/>
  <c r="K6" i="1"/>
  <c r="K7" i="1"/>
  <c r="K8" i="1"/>
  <c r="K9" i="1"/>
  <c r="K10" i="1"/>
  <c r="K11" i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2" i="1"/>
  <c r="I3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<sst xmlns="http://schemas.openxmlformats.org/spreadsheetml/2006/main" count="89" uniqueCount="79">
  <si>
    <t>Name</t>
  </si>
  <si>
    <t>Age</t>
  </si>
  <si>
    <t>Department</t>
  </si>
  <si>
    <t>Salary</t>
  </si>
  <si>
    <t>Performance</t>
  </si>
  <si>
    <t>Aarav Sharma</t>
  </si>
  <si>
    <t>IT</t>
  </si>
  <si>
    <t>Priya Karki</t>
  </si>
  <si>
    <t>HR</t>
  </si>
  <si>
    <t>Suman Rai</t>
  </si>
  <si>
    <t>Finance</t>
  </si>
  <si>
    <t>Anisha Thapa</t>
  </si>
  <si>
    <t>Marketing</t>
  </si>
  <si>
    <t>Rohan Gupta</t>
  </si>
  <si>
    <t>Sneha Adhikari</t>
  </si>
  <si>
    <t>Sales</t>
  </si>
  <si>
    <t>Bibek Joshi</t>
  </si>
  <si>
    <t>Nisha Tamang</t>
  </si>
  <si>
    <t>Kiran Shah</t>
  </si>
  <si>
    <t>Pooja Yadav</t>
  </si>
  <si>
    <t>HIGH/LOW</t>
  </si>
  <si>
    <t>AND IT/HIGH</t>
  </si>
  <si>
    <t>OR IT/HIGH</t>
  </si>
  <si>
    <t>IS HR</t>
  </si>
  <si>
    <t>S_GRADE</t>
  </si>
  <si>
    <t>FULL_FORM</t>
  </si>
  <si>
    <t>NESTED IF</t>
  </si>
  <si>
    <t>ERROR HANDLING</t>
  </si>
  <si>
    <t>ID</t>
  </si>
  <si>
    <t>Target</t>
  </si>
  <si>
    <t>Region</t>
  </si>
  <si>
    <t>Aditi</t>
  </si>
  <si>
    <t>North</t>
  </si>
  <si>
    <t>Raj</t>
  </si>
  <si>
    <t>South</t>
  </si>
  <si>
    <t>Meena</t>
  </si>
  <si>
    <t>East</t>
  </si>
  <si>
    <t>Karan</t>
  </si>
  <si>
    <t>West</t>
  </si>
  <si>
    <t>Sonia</t>
  </si>
  <si>
    <t>IFNA</t>
  </si>
  <si>
    <t>IFERROR</t>
  </si>
  <si>
    <t>Full Name</t>
  </si>
  <si>
    <t>Email</t>
  </si>
  <si>
    <t>Code</t>
  </si>
  <si>
    <t>aditi.sharma@gmail.com</t>
  </si>
  <si>
    <t>HR-001-IND</t>
  </si>
  <si>
    <t>rajv@outlook.com</t>
  </si>
  <si>
    <t>IT-112-USA</t>
  </si>
  <si>
    <t>meena_k@company.org</t>
  </si>
  <si>
    <t>FIN-345-UK</t>
  </si>
  <si>
    <t>ks@work.net</t>
  </si>
  <si>
    <t>IT-221-AUS</t>
  </si>
  <si>
    <t>SONIA</t>
  </si>
  <si>
    <t>sonia@domain.in</t>
  </si>
  <si>
    <t>HR-019-CAN</t>
  </si>
  <si>
    <t>LEFT</t>
  </si>
  <si>
    <t>RIGHT</t>
  </si>
  <si>
    <t>MID</t>
  </si>
  <si>
    <t>TRIM</t>
  </si>
  <si>
    <t>RAJ     VERMA</t>
  </si>
  <si>
    <t>aditi    sharma</t>
  </si>
  <si>
    <t>karan    singh</t>
  </si>
  <si>
    <t>LENGTH</t>
  </si>
  <si>
    <t>UPPER</t>
  </si>
  <si>
    <t>LOWER</t>
  </si>
  <si>
    <t>PROPER</t>
  </si>
  <si>
    <t>TRIM&amp;PROPER</t>
  </si>
  <si>
    <t>SEARCH</t>
  </si>
  <si>
    <t>FIND</t>
  </si>
  <si>
    <t>USERNAME</t>
  </si>
  <si>
    <t>DEPT</t>
  </si>
  <si>
    <t>SLASH CODE/S</t>
  </si>
  <si>
    <t>SLASH CODE/R</t>
  </si>
  <si>
    <t>CONCAT</t>
  </si>
  <si>
    <t>concat &amp;</t>
  </si>
  <si>
    <t>CCOUNTRY</t>
  </si>
  <si>
    <t>CONTACT</t>
  </si>
  <si>
    <t>TEXT JOIN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</si>
</sst>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6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Fill="1" applyBorder="1" applyAlignment="1">
      <alignment horizontal="center" vertical="top"/>
    </xf>
    <xf numFmtId="0" fontId="4" fillId="0" borderId="3" xfId="0" applyFont="1" applyBorder="1" applyAlignment="1">
      <alignment horizontal="right" vertical="center" wrapText="1"/>
    </xf>
    <xf numFmtId="0" fontId="4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vertical="center"/>
    </xf>
    <xf numFmtId="0" fontId="7" fillId="0" borderId="3" xfId="1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meena_k@company.org" TargetMode="External"/><Relationship Id="rId2" Type="http://schemas.openxmlformats.org/officeDocument/2006/relationships/hyperlink" Target="mailto:rajv@outlook.com" TargetMode="External"/><Relationship Id="rId1" Type="http://schemas.openxmlformats.org/officeDocument/2006/relationships/hyperlink" Target="mailto:aditi.sharma@gmail.com" TargetMode="External"/><Relationship Id="rId5" Type="http://schemas.openxmlformats.org/officeDocument/2006/relationships/hyperlink" Target="mailto:sonia@domain.in" TargetMode="External"/><Relationship Id="rId4" Type="http://schemas.openxmlformats.org/officeDocument/2006/relationships/hyperlink" Target="mailto:ks@work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97A16-DE66-41CC-BBC1-0BDDB17EC869}">
  <dimension ref="A1:L11"/>
  <sheetViews>
    <sheetView topLeftCell="D1" workbookViewId="0">
      <selection activeCell="K3" sqref="K3"/>
    </sheetView>
  </sheetViews>
  <sheetFormatPr defaultRowHeight="14.4"/>
  <cols>
    <col min="1" max="1" width="12.88671875" bestFit="1" customWidth="1"/>
    <col min="2" max="2" width="4.21875" bestFit="1" customWidth="1"/>
    <col min="3" max="3" width="11.109375" bestFit="1" customWidth="1"/>
    <col min="4" max="4" width="6.109375" bestFit="1" customWidth="1"/>
    <col min="5" max="5" width="11.88671875" bestFit="1" customWidth="1"/>
    <col min="6" max="6" width="10.109375" customWidth="1"/>
    <col min="7" max="7" width="11.88671875" customWidth="1"/>
    <col min="8" max="8" width="10.5546875" customWidth="1"/>
    <col min="9" max="9" width="8.88671875" customWidth="1"/>
    <col min="10" max="10" width="8.77734375" bestFit="1" customWidth="1"/>
    <col min="11" max="11" width="20.77734375" customWidth="1"/>
    <col min="12" max="12" width="9.44140625" bestFit="1" customWidth="1"/>
  </cols>
  <sheetData>
    <row r="1" spans="1:12" ht="15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</row>
    <row r="2" spans="1:12">
      <c r="A2" s="2" t="s">
        <v>5</v>
      </c>
      <c r="B2" s="2">
        <v>25</v>
      </c>
      <c r="C2" s="2" t="s">
        <v>6</v>
      </c>
      <c r="D2" s="2">
        <v>45000</v>
      </c>
      <c r="E2" s="2">
        <v>4.2</v>
      </c>
      <c r="F2" t="str">
        <f>IF(D2&gt;50000,"High","Low")</f>
        <v>Low</v>
      </c>
      <c r="G2" t="str">
        <f>IF(AND(D2&gt;50000,C2="IT"),"IT HIGH","OTHERS")</f>
        <v>OTHERS</v>
      </c>
      <c r="H2" t="str">
        <f>IF(OR(D2&gt;50000,C2="IT"),"YEAH","OTHERS")</f>
        <v>YEAH</v>
      </c>
      <c r="I2" t="str">
        <f>IF(NOT(C2="HR"),"OTHER","YES")</f>
        <v>OTHER</v>
      </c>
      <c r="J2" t="str">
        <f>_xlfn.IFS(D2&gt;70000,"A",D2&gt;60000,"B",D2&gt;50000,"C",TRUE,"D")</f>
        <v>D</v>
      </c>
      <c r="K2" t="str">
        <f>_xlfn.SWITCH(C2,
"HR","Human Resource",
"IT","Information Technology",C2)</f>
        <v>Information Technology</v>
      </c>
      <c r="L2" t="str">
        <f>IF(D2&gt;70000,"WOW",IF(D2&gt;60000,"GOOD",IF(D2&gt;50000,"OK","BAD")))</f>
        <v>BAD</v>
      </c>
    </row>
    <row r="3" spans="1:12">
      <c r="A3" s="2" t="s">
        <v>7</v>
      </c>
      <c r="B3" s="2">
        <v>29</v>
      </c>
      <c r="C3" s="2" t="s">
        <v>8</v>
      </c>
      <c r="D3" s="2">
        <v>52000</v>
      </c>
      <c r="E3" s="2">
        <v>4.5</v>
      </c>
      <c r="F3" t="str">
        <f t="shared" ref="F3:F11" si="0">IF(D3&gt;50000,"High","Low")</f>
        <v>High</v>
      </c>
      <c r="G3" t="str">
        <f t="shared" ref="G3:G11" si="1">IF(AND(D3&gt;50000,C3="IT"),"IT HIGH","OTHERS")</f>
        <v>OTHERS</v>
      </c>
      <c r="H3" t="str">
        <f t="shared" ref="H3:H11" si="2">IF(OR(D3&gt;50000,C3="IT"),"YEAH","OTHERS")</f>
        <v>YEAH</v>
      </c>
      <c r="I3" t="str">
        <f>IF(NOT(C3="HR"),"OTHER","YES")</f>
        <v>YES</v>
      </c>
      <c r="J3" t="str">
        <f t="shared" ref="J3:J11" si="3">_xlfn.IFS(D3&gt;70000,"A",D3&gt;60000,"B",D3&gt;50000,"C",TRUE,"D")</f>
        <v>C</v>
      </c>
      <c r="K3" t="str">
        <f t="shared" ref="K3:K11" si="4">_xlfn.SWITCH(C3,
"HR","Human Resource",
"IT","Information Technology",C3)</f>
        <v>Human Resource</v>
      </c>
      <c r="L3" t="str">
        <f t="shared" ref="L3:L11" si="5">IF(D3&gt;70000,"WOW",IF(D3&gt;60000,"GOOD",IF(D3&gt;50000,"OK","BAD")))</f>
        <v>OK</v>
      </c>
    </row>
    <row r="4" spans="1:12">
      <c r="A4" s="2" t="s">
        <v>9</v>
      </c>
      <c r="B4" s="2">
        <v>34</v>
      </c>
      <c r="C4" s="2" t="s">
        <v>10</v>
      </c>
      <c r="D4" s="2">
        <v>68000</v>
      </c>
      <c r="E4" s="2">
        <v>3.8</v>
      </c>
      <c r="F4" t="str">
        <f t="shared" si="0"/>
        <v>High</v>
      </c>
      <c r="G4" t="str">
        <f t="shared" si="1"/>
        <v>OTHERS</v>
      </c>
      <c r="H4" t="str">
        <f t="shared" si="2"/>
        <v>YEAH</v>
      </c>
      <c r="I4" t="str">
        <f t="shared" ref="I4:I11" si="6">IF(NOT(C4="HR"),"OTHER","YES")</f>
        <v>OTHER</v>
      </c>
      <c r="J4" t="str">
        <f t="shared" si="3"/>
        <v>B</v>
      </c>
      <c r="K4" t="str">
        <f t="shared" si="4"/>
        <v>Finance</v>
      </c>
      <c r="L4" t="str">
        <f t="shared" si="5"/>
        <v>GOOD</v>
      </c>
    </row>
    <row r="5" spans="1:12">
      <c r="A5" s="2" t="s">
        <v>11</v>
      </c>
      <c r="B5" s="2">
        <v>27</v>
      </c>
      <c r="C5" s="2" t="s">
        <v>12</v>
      </c>
      <c r="D5" s="2">
        <v>47000</v>
      </c>
      <c r="E5" s="2">
        <v>4.0999999999999996</v>
      </c>
      <c r="F5" t="str">
        <f t="shared" si="0"/>
        <v>Low</v>
      </c>
      <c r="G5" t="str">
        <f t="shared" si="1"/>
        <v>OTHERS</v>
      </c>
      <c r="H5" t="str">
        <f t="shared" si="2"/>
        <v>OTHERS</v>
      </c>
      <c r="I5" t="str">
        <f t="shared" si="6"/>
        <v>OTHER</v>
      </c>
      <c r="J5" t="str">
        <f t="shared" si="3"/>
        <v>D</v>
      </c>
      <c r="K5" t="str">
        <f t="shared" si="4"/>
        <v>Marketing</v>
      </c>
      <c r="L5" t="str">
        <f t="shared" si="5"/>
        <v>BAD</v>
      </c>
    </row>
    <row r="6" spans="1:12">
      <c r="A6" s="2" t="s">
        <v>13</v>
      </c>
      <c r="B6" s="2">
        <v>41</v>
      </c>
      <c r="C6" s="2" t="s">
        <v>6</v>
      </c>
      <c r="D6" s="2">
        <v>82000</v>
      </c>
      <c r="E6" s="2">
        <v>4.7</v>
      </c>
      <c r="F6" t="str">
        <f t="shared" si="0"/>
        <v>High</v>
      </c>
      <c r="G6" t="str">
        <f t="shared" si="1"/>
        <v>IT HIGH</v>
      </c>
      <c r="H6" t="str">
        <f t="shared" si="2"/>
        <v>YEAH</v>
      </c>
      <c r="I6" t="str">
        <f t="shared" si="6"/>
        <v>OTHER</v>
      </c>
      <c r="J6" t="str">
        <f t="shared" si="3"/>
        <v>A</v>
      </c>
      <c r="K6" t="str">
        <f t="shared" si="4"/>
        <v>Information Technology</v>
      </c>
      <c r="L6" t="str">
        <f t="shared" si="5"/>
        <v>WOW</v>
      </c>
    </row>
    <row r="7" spans="1:12">
      <c r="A7" s="2" t="s">
        <v>14</v>
      </c>
      <c r="B7" s="2">
        <v>31</v>
      </c>
      <c r="C7" s="2" t="s">
        <v>15</v>
      </c>
      <c r="D7" s="2">
        <v>56000</v>
      </c>
      <c r="E7" s="2">
        <v>3.9</v>
      </c>
      <c r="F7" t="str">
        <f t="shared" si="0"/>
        <v>High</v>
      </c>
      <c r="G7" t="str">
        <f t="shared" si="1"/>
        <v>OTHERS</v>
      </c>
      <c r="H7" t="str">
        <f t="shared" si="2"/>
        <v>YEAH</v>
      </c>
      <c r="I7" t="str">
        <f t="shared" si="6"/>
        <v>OTHER</v>
      </c>
      <c r="J7" t="str">
        <f t="shared" si="3"/>
        <v>C</v>
      </c>
      <c r="K7" t="str">
        <f t="shared" si="4"/>
        <v>Sales</v>
      </c>
      <c r="L7" t="str">
        <f t="shared" si="5"/>
        <v>OK</v>
      </c>
    </row>
    <row r="8" spans="1:12">
      <c r="A8" s="2" t="s">
        <v>16</v>
      </c>
      <c r="B8" s="2">
        <v>24</v>
      </c>
      <c r="C8" s="2" t="s">
        <v>10</v>
      </c>
      <c r="D8" s="2">
        <v>39000</v>
      </c>
      <c r="E8" s="2">
        <v>4</v>
      </c>
      <c r="F8" t="str">
        <f t="shared" si="0"/>
        <v>Low</v>
      </c>
      <c r="G8" t="str">
        <f t="shared" si="1"/>
        <v>OTHERS</v>
      </c>
      <c r="H8" t="str">
        <f t="shared" si="2"/>
        <v>OTHERS</v>
      </c>
      <c r="I8" t="str">
        <f t="shared" si="6"/>
        <v>OTHER</v>
      </c>
      <c r="J8" t="str">
        <f t="shared" si="3"/>
        <v>D</v>
      </c>
      <c r="K8" t="str">
        <f t="shared" si="4"/>
        <v>Finance</v>
      </c>
      <c r="L8" t="str">
        <f t="shared" si="5"/>
        <v>BAD</v>
      </c>
    </row>
    <row r="9" spans="1:12">
      <c r="A9" s="2" t="s">
        <v>17</v>
      </c>
      <c r="B9" s="2">
        <v>36</v>
      </c>
      <c r="C9" s="2" t="s">
        <v>8</v>
      </c>
      <c r="D9" s="2">
        <v>61000</v>
      </c>
      <c r="E9" s="2">
        <v>4.3</v>
      </c>
      <c r="F9" t="str">
        <f t="shared" si="0"/>
        <v>High</v>
      </c>
      <c r="G9" t="str">
        <f t="shared" si="1"/>
        <v>OTHERS</v>
      </c>
      <c r="H9" t="str">
        <f t="shared" si="2"/>
        <v>YEAH</v>
      </c>
      <c r="I9" t="str">
        <f t="shared" si="6"/>
        <v>YES</v>
      </c>
      <c r="J9" t="str">
        <f t="shared" si="3"/>
        <v>B</v>
      </c>
      <c r="K9" t="str">
        <f t="shared" si="4"/>
        <v>Human Resource</v>
      </c>
      <c r="L9" t="str">
        <f t="shared" si="5"/>
        <v>GOOD</v>
      </c>
    </row>
    <row r="10" spans="1:12">
      <c r="A10" s="2" t="s">
        <v>18</v>
      </c>
      <c r="B10" s="2">
        <v>30</v>
      </c>
      <c r="C10" s="2" t="s">
        <v>12</v>
      </c>
      <c r="D10" s="2">
        <v>50000</v>
      </c>
      <c r="E10" s="2">
        <v>3.7</v>
      </c>
      <c r="F10" t="str">
        <f t="shared" si="0"/>
        <v>Low</v>
      </c>
      <c r="G10" t="str">
        <f t="shared" si="1"/>
        <v>OTHERS</v>
      </c>
      <c r="H10" t="str">
        <f t="shared" si="2"/>
        <v>OTHERS</v>
      </c>
      <c r="I10" t="str">
        <f t="shared" si="6"/>
        <v>OTHER</v>
      </c>
      <c r="J10" t="str">
        <f t="shared" si="3"/>
        <v>D</v>
      </c>
      <c r="K10" t="str">
        <f t="shared" si="4"/>
        <v>Marketing</v>
      </c>
      <c r="L10" t="str">
        <f t="shared" si="5"/>
        <v>BAD</v>
      </c>
    </row>
    <row r="11" spans="1:12">
      <c r="A11" s="2" t="s">
        <v>19</v>
      </c>
      <c r="B11" s="2">
        <v>28</v>
      </c>
      <c r="C11" s="2" t="s">
        <v>6</v>
      </c>
      <c r="D11" s="2">
        <v>54000</v>
      </c>
      <c r="E11" s="2">
        <v>4.4000000000000004</v>
      </c>
      <c r="F11" t="str">
        <f t="shared" si="0"/>
        <v>High</v>
      </c>
      <c r="G11" t="str">
        <f t="shared" si="1"/>
        <v>IT HIGH</v>
      </c>
      <c r="H11" t="str">
        <f t="shared" si="2"/>
        <v>YEAH</v>
      </c>
      <c r="I11" t="str">
        <f t="shared" si="6"/>
        <v>OTHER</v>
      </c>
      <c r="J11" t="str">
        <f t="shared" si="3"/>
        <v>C</v>
      </c>
      <c r="K11" t="str">
        <f t="shared" si="4"/>
        <v>Information Technology</v>
      </c>
      <c r="L11" t="str">
        <f t="shared" si="5"/>
        <v>OK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16A69-200B-4D11-8D35-248E1E34AF47}">
  <dimension ref="A1:G7"/>
  <sheetViews>
    <sheetView workbookViewId="0">
      <selection activeCell="G9" sqref="G9"/>
    </sheetView>
  </sheetViews>
  <sheetFormatPr defaultRowHeight="14.4"/>
  <cols>
    <col min="1" max="1" width="4.6640625" bestFit="1" customWidth="1"/>
    <col min="2" max="2" width="7.6640625" bestFit="1" customWidth="1"/>
    <col min="3" max="3" width="8.44140625" bestFit="1" customWidth="1"/>
    <col min="4" max="4" width="7.88671875" bestFit="1" customWidth="1"/>
    <col min="5" max="5" width="8.33203125" bestFit="1" customWidth="1"/>
    <col min="6" max="6" width="14.109375" bestFit="1" customWidth="1"/>
    <col min="7" max="7" width="10.77734375" bestFit="1" customWidth="1"/>
  </cols>
  <sheetData>
    <row r="1" spans="1:7" ht="33" customHeight="1" thickBot="1">
      <c r="A1" s="8" t="s">
        <v>27</v>
      </c>
      <c r="B1" s="7"/>
      <c r="C1" s="7"/>
      <c r="D1" s="7"/>
      <c r="E1" s="7"/>
    </row>
    <row r="2" spans="1:7" ht="16.2" thickBot="1">
      <c r="A2" s="9" t="s">
        <v>28</v>
      </c>
      <c r="B2" s="9" t="s">
        <v>0</v>
      </c>
      <c r="C2" s="9" t="s">
        <v>15</v>
      </c>
      <c r="D2" s="9" t="s">
        <v>29</v>
      </c>
      <c r="E2" s="9" t="s">
        <v>30</v>
      </c>
      <c r="F2" s="10" t="s">
        <v>40</v>
      </c>
      <c r="G2" s="10" t="s">
        <v>41</v>
      </c>
    </row>
    <row r="3" spans="1:7" ht="15.6" thickBot="1">
      <c r="A3" s="4">
        <v>101</v>
      </c>
      <c r="B3" s="5" t="s">
        <v>31</v>
      </c>
      <c r="C3" s="4">
        <v>50000</v>
      </c>
      <c r="D3" s="4">
        <v>55000</v>
      </c>
      <c r="E3" s="5" t="s">
        <v>32</v>
      </c>
      <c r="F3">
        <f>_xlfn.IFNA(C3,"NOT AVAILABLE")</f>
        <v>50000</v>
      </c>
      <c r="G3">
        <f>IFERROR(C3,"ERROR")</f>
        <v>50000</v>
      </c>
    </row>
    <row r="4" spans="1:7" ht="15.6" thickBot="1">
      <c r="A4" s="4">
        <v>102</v>
      </c>
      <c r="B4" s="5" t="s">
        <v>33</v>
      </c>
      <c r="C4" s="6" t="e">
        <v>#N/A</v>
      </c>
      <c r="D4" s="4">
        <v>60000</v>
      </c>
      <c r="E4" s="5" t="s">
        <v>34</v>
      </c>
      <c r="F4" t="str">
        <f t="shared" ref="F4:F7" si="0">_xlfn.IFNA(C4,"NOT AVAILABLE")</f>
        <v>NOT AVAILABLE</v>
      </c>
      <c r="G4" t="str">
        <f t="shared" ref="G4:G7" si="1">IFERROR(C4,"ERROR")</f>
        <v>ERROR</v>
      </c>
    </row>
    <row r="5" spans="1:7" ht="15.6" thickBot="1">
      <c r="A5" s="4">
        <v>103</v>
      </c>
      <c r="B5" s="5" t="s">
        <v>35</v>
      </c>
      <c r="C5" s="4">
        <v>70000</v>
      </c>
      <c r="D5" s="4">
        <v>65000</v>
      </c>
      <c r="E5" s="5" t="s">
        <v>36</v>
      </c>
      <c r="F5">
        <f t="shared" si="0"/>
        <v>70000</v>
      </c>
      <c r="G5">
        <f t="shared" si="1"/>
        <v>70000</v>
      </c>
    </row>
    <row r="6" spans="1:7" ht="15.6" thickBot="1">
      <c r="A6" s="4">
        <v>104</v>
      </c>
      <c r="B6" s="5" t="s">
        <v>37</v>
      </c>
      <c r="C6" s="6" t="e">
        <v>#DIV/0!</v>
      </c>
      <c r="D6" s="4">
        <v>40000</v>
      </c>
      <c r="E6" s="5" t="s">
        <v>38</v>
      </c>
      <c r="F6" t="e">
        <f t="shared" si="0"/>
        <v>#DIV/0!</v>
      </c>
      <c r="G6" t="str">
        <f t="shared" si="1"/>
        <v>ERROR</v>
      </c>
    </row>
    <row r="7" spans="1:7" ht="15.6" thickBot="1">
      <c r="A7" s="4">
        <v>105</v>
      </c>
      <c r="B7" s="5" t="s">
        <v>39</v>
      </c>
      <c r="C7" s="4">
        <v>45000</v>
      </c>
      <c r="D7" s="4">
        <v>45000</v>
      </c>
      <c r="E7" s="5" t="s">
        <v>32</v>
      </c>
      <c r="F7">
        <f t="shared" si="0"/>
        <v>45000</v>
      </c>
      <c r="G7">
        <f t="shared" si="1"/>
        <v>45000</v>
      </c>
    </row>
  </sheetData>
  <mergeCells count="1">
    <mergeCell ref="A1: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02429-D030-4DE5-81FE-6696E2C8C556}">
  <dimension ref="A1:X6"/>
  <sheetViews>
    <sheetView tabSelected="1" topLeftCell="B1" workbookViewId="0">
      <selection activeCell="X9" sqref="X9"/>
    </sheetView>
  </sheetViews>
  <sheetFormatPr defaultRowHeight="14.4"/>
  <cols>
    <col min="1" max="1" width="4.6640625" bestFit="1" customWidth="1"/>
    <col min="2" max="2" width="16.33203125" bestFit="1" customWidth="1"/>
    <col min="3" max="3" width="24.44140625" bestFit="1" customWidth="1"/>
    <col min="4" max="4" width="13.77734375" customWidth="1"/>
    <col min="5" max="7" width="8.88671875" hidden="1" customWidth="1"/>
    <col min="8" max="8" width="11" hidden="1" customWidth="1"/>
    <col min="9" max="9" width="8.88671875" hidden="1" customWidth="1"/>
    <col min="10" max="10" width="25.44140625" hidden="1" customWidth="1"/>
    <col min="11" max="11" width="12.33203125" hidden="1" customWidth="1"/>
    <col min="12" max="12" width="12.5546875" hidden="1" customWidth="1"/>
    <col min="13" max="13" width="17.44140625" hidden="1" customWidth="1"/>
    <col min="14" max="14" width="10" hidden="1" customWidth="1"/>
    <col min="15" max="15" width="8.88671875" hidden="1" customWidth="1"/>
    <col min="16" max="16" width="13.44140625" hidden="1" customWidth="1"/>
    <col min="17" max="17" width="8.88671875" hidden="1" customWidth="1"/>
    <col min="18" max="18" width="15.33203125" hidden="1" customWidth="1"/>
    <col min="19" max="19" width="0" hidden="1" customWidth="1"/>
    <col min="20" max="21" width="22.21875" hidden="1" customWidth="1"/>
    <col min="22" max="22" width="13.5546875" hidden="1" customWidth="1"/>
    <col min="23" max="23" width="12" bestFit="1" customWidth="1"/>
    <col min="24" max="24" width="24.44140625" bestFit="1" customWidth="1"/>
  </cols>
  <sheetData>
    <row r="1" spans="1:24" ht="16.2" thickBot="1">
      <c r="A1" s="9" t="s">
        <v>28</v>
      </c>
      <c r="B1" s="9" t="s">
        <v>42</v>
      </c>
      <c r="C1" s="9" t="s">
        <v>43</v>
      </c>
      <c r="D1" s="9" t="s">
        <v>44</v>
      </c>
      <c r="E1" s="10" t="s">
        <v>56</v>
      </c>
      <c r="F1" s="10" t="s">
        <v>57</v>
      </c>
      <c r="G1" s="10" t="s">
        <v>58</v>
      </c>
      <c r="H1" s="10" t="s">
        <v>59</v>
      </c>
      <c r="I1" s="10" t="s">
        <v>63</v>
      </c>
      <c r="J1" s="10" t="s">
        <v>64</v>
      </c>
      <c r="K1" s="10" t="s">
        <v>65</v>
      </c>
      <c r="L1" s="10" t="s">
        <v>66</v>
      </c>
      <c r="M1" s="10" t="s">
        <v>67</v>
      </c>
      <c r="N1" s="10" t="s">
        <v>68</v>
      </c>
      <c r="O1" s="10" t="s">
        <v>69</v>
      </c>
      <c r="P1" s="10" t="s">
        <v>70</v>
      </c>
      <c r="Q1" s="10" t="s">
        <v>71</v>
      </c>
      <c r="R1" s="10" t="s">
        <v>72</v>
      </c>
      <c r="S1" s="10" t="s">
        <v>73</v>
      </c>
      <c r="T1" s="10" t="s">
        <v>74</v>
      </c>
      <c r="U1" s="10" t="s">
        <v>75</v>
      </c>
      <c r="V1" s="10" t="s">
        <v>76</v>
      </c>
      <c r="W1" s="10" t="s">
        <v>77</v>
      </c>
      <c r="X1" s="10" t="s">
        <v>78</v>
      </c>
    </row>
    <row r="2" spans="1:24" ht="16.2" thickBot="1">
      <c r="A2" s="11">
        <v>101</v>
      </c>
      <c r="B2" s="12" t="s">
        <v>61</v>
      </c>
      <c r="C2" s="13" t="s">
        <v>45</v>
      </c>
      <c r="D2" s="12" t="s">
        <v>46</v>
      </c>
      <c r="E2" t="str">
        <f>LEFT(D2,2)</f>
        <v>HR</v>
      </c>
      <c r="F2" t="str">
        <f>RIGHT(D2,3)</f>
        <v>IND</v>
      </c>
      <c r="G2" t="str">
        <f>MID(D2,4,3)</f>
        <v>001</v>
      </c>
      <c r="H2" t="str">
        <f>TRIM(B2)</f>
        <v>aditi sharma</v>
      </c>
      <c r="I2">
        <f>LEN(D2)</f>
        <v>10</v>
      </c>
      <c r="J2" t="str">
        <f>UPPER(C2)</f>
        <v>ADITI.SHARMA@GMAIL.COM</v>
      </c>
      <c r="K2" t="str">
        <f>LOWER(B2)</f>
        <v>aditi    sharma</v>
      </c>
      <c r="L2" t="str">
        <f>PROPER(B2)</f>
        <v>Aditi    Sharma</v>
      </c>
      <c r="M2" t="str">
        <f>PROPER(TRIM(B2))</f>
        <v>Aditi Sharma</v>
      </c>
      <c r="N2">
        <f>SEARCH("@",C2)</f>
        <v>13</v>
      </c>
      <c r="O2" t="e">
        <f>FIND("S",B2)</f>
        <v>#VALUE!</v>
      </c>
      <c r="P2" t="str">
        <f>LEFT(C2,SEARCH("@",C2)-1)</f>
        <v>aditi.sharma</v>
      </c>
      <c r="Q2" t="str">
        <f>LEFT(D2,SEARCH("-",D2)-1)</f>
        <v>HR</v>
      </c>
      <c r="R2" t="str">
        <f>SUBSTITUTE(D2,"-","/")</f>
        <v>HR/001/IND</v>
      </c>
      <c r="S2" t="str">
        <f>REPLACE(D2,3,1,"/")</f>
        <v>HR/001-IND</v>
      </c>
      <c r="T2" t="str">
        <f>_xlfn.CONCAT(PROPER(TRIM(B2)),"|",D2)</f>
        <v>Aditi Sharma|HR-001-IND</v>
      </c>
      <c r="U2" t="str">
        <f>PROPER(TRIM(B2))&amp;"|"&amp;D2</f>
        <v>Aditi Sharma|HR-001-IND</v>
      </c>
      <c r="V2" t="str">
        <f>RIGHT(D2,LEN(D2)-FIND("@",SUBSTITUTE(D2,"-","@",2)))</f>
        <v>IND</v>
      </c>
      <c r="W2">
        <v>3457345735</v>
      </c>
      <c r="X2" t="str">
        <f>_xlfn.TEXTJOIN(" | ",TRUE,B2,W2)</f>
        <v>aditi    sharma | 3457345735</v>
      </c>
    </row>
    <row r="3" spans="1:24" ht="16.2" thickBot="1">
      <c r="A3" s="11">
        <v>102</v>
      </c>
      <c r="B3" s="12" t="s">
        <v>60</v>
      </c>
      <c r="C3" s="13" t="s">
        <v>47</v>
      </c>
      <c r="D3" s="12" t="s">
        <v>48</v>
      </c>
      <c r="E3" t="str">
        <f t="shared" ref="E3:E6" si="0">LEFT(D3,2)</f>
        <v>IT</v>
      </c>
      <c r="F3" t="str">
        <f t="shared" ref="F3:F6" si="1">RIGHT(D3,3)</f>
        <v>USA</v>
      </c>
      <c r="G3" t="str">
        <f t="shared" ref="G3:G6" si="2">MID(D3,4,3)</f>
        <v>112</v>
      </c>
      <c r="H3" t="str">
        <f t="shared" ref="H3:H6" si="3">TRIM(B3)</f>
        <v>RAJ VERMA</v>
      </c>
      <c r="I3">
        <f t="shared" ref="I3:I6" si="4">LEN(D3)</f>
        <v>10</v>
      </c>
      <c r="J3" t="str">
        <f t="shared" ref="J3:J6" si="5">UPPER(C3)</f>
        <v>RAJV@OUTLOOK.COM</v>
      </c>
      <c r="K3" t="str">
        <f t="shared" ref="K3:K6" si="6">LOWER(B3)</f>
        <v>raj     verma</v>
      </c>
      <c r="L3" t="str">
        <f t="shared" ref="L3:L6" si="7">PROPER(B3)</f>
        <v>Raj     Verma</v>
      </c>
      <c r="M3" t="str">
        <f t="shared" ref="M3:M6" si="8">PROPER(TRIM(B3))</f>
        <v>Raj Verma</v>
      </c>
      <c r="N3">
        <f t="shared" ref="N3:N6" si="9">SEARCH("@",C3)</f>
        <v>5</v>
      </c>
      <c r="O3" t="e">
        <f t="shared" ref="O3:O6" si="10">FIND("S",B3)</f>
        <v>#VALUE!</v>
      </c>
      <c r="P3" t="str">
        <f t="shared" ref="P3:P6" si="11">LEFT(C3,SEARCH("@",C3)-1)</f>
        <v>rajv</v>
      </c>
      <c r="Q3" t="str">
        <f t="shared" ref="Q3:Q6" si="12">LEFT(D3,SEARCH("-",D3)-1)</f>
        <v>IT</v>
      </c>
      <c r="R3" t="str">
        <f t="shared" ref="R3:R6" si="13">SUBSTITUTE(D3,"-","/")</f>
        <v>IT/112/USA</v>
      </c>
      <c r="S3" t="str">
        <f t="shared" ref="S3:S6" si="14">REPLACE(D3,3,1,"/")</f>
        <v>IT/112-USA</v>
      </c>
      <c r="T3" t="str">
        <f t="shared" ref="T3:T6" si="15">_xlfn.CONCAT(PROPER(TRIM(B3)),"|",D3)</f>
        <v>Raj Verma|IT-112-USA</v>
      </c>
      <c r="U3" t="str">
        <f t="shared" ref="U3:U6" si="16">PROPER(TRIM(B3))&amp;"|"&amp;D3</f>
        <v>Raj Verma|IT-112-USA</v>
      </c>
      <c r="V3" t="str">
        <f t="shared" ref="V3:V6" si="17">RIGHT(D3,LEN(D3)-FIND("@",SUBSTITUTE(D3,"-","@",2)))</f>
        <v>USA</v>
      </c>
      <c r="X3" t="str">
        <f t="shared" ref="X3:X6" si="18">_xlfn.TEXTJOIN(" | ",TRUE,B3,W3)</f>
        <v>RAJ     VERMA</v>
      </c>
    </row>
    <row r="4" spans="1:24" ht="16.2" thickBot="1">
      <c r="A4" s="11">
        <v>103</v>
      </c>
      <c r="B4" s="12" t="s">
        <v>35</v>
      </c>
      <c r="C4" s="13" t="s">
        <v>49</v>
      </c>
      <c r="D4" s="12" t="s">
        <v>50</v>
      </c>
      <c r="E4" t="str">
        <f t="shared" si="0"/>
        <v>FI</v>
      </c>
      <c r="F4" t="str">
        <f t="shared" si="1"/>
        <v>-UK</v>
      </c>
      <c r="G4" t="str">
        <f t="shared" si="2"/>
        <v>-34</v>
      </c>
      <c r="H4" t="str">
        <f t="shared" si="3"/>
        <v>Meena</v>
      </c>
      <c r="I4">
        <f t="shared" si="4"/>
        <v>10</v>
      </c>
      <c r="J4" t="str">
        <f t="shared" si="5"/>
        <v>MEENA_K@COMPANY.ORG</v>
      </c>
      <c r="K4" t="str">
        <f t="shared" si="6"/>
        <v>meena</v>
      </c>
      <c r="L4" t="str">
        <f t="shared" si="7"/>
        <v>Meena</v>
      </c>
      <c r="M4" t="str">
        <f t="shared" si="8"/>
        <v>Meena</v>
      </c>
      <c r="N4">
        <f t="shared" si="9"/>
        <v>8</v>
      </c>
      <c r="O4" t="e">
        <f t="shared" si="10"/>
        <v>#VALUE!</v>
      </c>
      <c r="P4" t="str">
        <f t="shared" si="11"/>
        <v>meena_k</v>
      </c>
      <c r="Q4" t="str">
        <f t="shared" si="12"/>
        <v>FIN</v>
      </c>
      <c r="R4" t="str">
        <f t="shared" si="13"/>
        <v>FIN/345/UK</v>
      </c>
      <c r="S4" t="str">
        <f t="shared" si="14"/>
        <v>FI/-345-UK</v>
      </c>
      <c r="T4" t="str">
        <f t="shared" si="15"/>
        <v>Meena|FIN-345-UK</v>
      </c>
      <c r="U4" t="str">
        <f t="shared" si="16"/>
        <v>Meena|FIN-345-UK</v>
      </c>
      <c r="V4" t="str">
        <f t="shared" si="17"/>
        <v>UK</v>
      </c>
      <c r="W4">
        <v>3457345573</v>
      </c>
      <c r="X4" t="str">
        <f t="shared" si="18"/>
        <v>Meena | 3457345573</v>
      </c>
    </row>
    <row r="5" spans="1:24" ht="16.2" thickBot="1">
      <c r="A5" s="11">
        <v>104</v>
      </c>
      <c r="B5" s="12" t="s">
        <v>62</v>
      </c>
      <c r="C5" s="13" t="s">
        <v>51</v>
      </c>
      <c r="D5" s="12" t="s">
        <v>52</v>
      </c>
      <c r="E5" t="str">
        <f t="shared" si="0"/>
        <v>IT</v>
      </c>
      <c r="F5" t="str">
        <f t="shared" si="1"/>
        <v>AUS</v>
      </c>
      <c r="G5" t="str">
        <f t="shared" si="2"/>
        <v>221</v>
      </c>
      <c r="H5" t="str">
        <f t="shared" si="3"/>
        <v>karan singh</v>
      </c>
      <c r="I5">
        <f t="shared" si="4"/>
        <v>10</v>
      </c>
      <c r="J5" t="str">
        <f t="shared" si="5"/>
        <v>KS@WORK.NET</v>
      </c>
      <c r="K5" t="str">
        <f t="shared" si="6"/>
        <v>karan    singh</v>
      </c>
      <c r="L5" t="str">
        <f t="shared" si="7"/>
        <v>Karan    Singh</v>
      </c>
      <c r="M5" t="str">
        <f t="shared" si="8"/>
        <v>Karan Singh</v>
      </c>
      <c r="N5">
        <f t="shared" si="9"/>
        <v>3</v>
      </c>
      <c r="O5" t="e">
        <f t="shared" si="10"/>
        <v>#VALUE!</v>
      </c>
      <c r="P5" t="str">
        <f t="shared" si="11"/>
        <v>ks</v>
      </c>
      <c r="Q5" t="str">
        <f t="shared" si="12"/>
        <v>IT</v>
      </c>
      <c r="R5" t="str">
        <f t="shared" si="13"/>
        <v>IT/221/AUS</v>
      </c>
      <c r="S5" t="str">
        <f t="shared" si="14"/>
        <v>IT/221-AUS</v>
      </c>
      <c r="T5" t="str">
        <f t="shared" si="15"/>
        <v>Karan Singh|IT-221-AUS</v>
      </c>
      <c r="U5" t="str">
        <f t="shared" si="16"/>
        <v>Karan Singh|IT-221-AUS</v>
      </c>
      <c r="V5" t="str">
        <f t="shared" si="17"/>
        <v>AUS</v>
      </c>
      <c r="X5" t="str">
        <f t="shared" si="18"/>
        <v>karan    singh</v>
      </c>
    </row>
    <row r="6" spans="1:24" ht="16.2" thickBot="1">
      <c r="A6" s="11">
        <v>105</v>
      </c>
      <c r="B6" s="12" t="s">
        <v>53</v>
      </c>
      <c r="C6" s="13" t="s">
        <v>54</v>
      </c>
      <c r="D6" s="12" t="s">
        <v>55</v>
      </c>
      <c r="E6" t="str">
        <f t="shared" si="0"/>
        <v>HR</v>
      </c>
      <c r="F6" t="str">
        <f t="shared" si="1"/>
        <v>CAN</v>
      </c>
      <c r="G6" t="str">
        <f t="shared" si="2"/>
        <v>019</v>
      </c>
      <c r="H6" t="str">
        <f t="shared" si="3"/>
        <v>SONIA</v>
      </c>
      <c r="I6">
        <f t="shared" si="4"/>
        <v>10</v>
      </c>
      <c r="J6" t="str">
        <f t="shared" si="5"/>
        <v>SONIA@DOMAIN.IN</v>
      </c>
      <c r="K6" t="str">
        <f t="shared" si="6"/>
        <v>sonia</v>
      </c>
      <c r="L6" t="str">
        <f t="shared" si="7"/>
        <v>Sonia</v>
      </c>
      <c r="M6" t="str">
        <f t="shared" si="8"/>
        <v>Sonia</v>
      </c>
      <c r="N6">
        <f t="shared" si="9"/>
        <v>6</v>
      </c>
      <c r="O6">
        <f t="shared" si="10"/>
        <v>1</v>
      </c>
      <c r="P6" t="str">
        <f t="shared" si="11"/>
        <v>sonia</v>
      </c>
      <c r="Q6" t="str">
        <f t="shared" si="12"/>
        <v>HR</v>
      </c>
      <c r="R6" t="str">
        <f t="shared" si="13"/>
        <v>HR/019/CAN</v>
      </c>
      <c r="S6" t="str">
        <f t="shared" si="14"/>
        <v>HR/019-CAN</v>
      </c>
      <c r="T6" t="str">
        <f t="shared" si="15"/>
        <v>Sonia|HR-019-CAN</v>
      </c>
      <c r="U6" t="str">
        <f t="shared" si="16"/>
        <v>Sonia|HR-019-CAN</v>
      </c>
      <c r="V6" t="str">
        <f t="shared" si="17"/>
        <v>CAN</v>
      </c>
      <c r="W6">
        <v>7245734573</v>
      </c>
      <c r="X6" t="str">
        <f t="shared" si="18"/>
        <v>SONIA | 7245734573</v>
      </c>
    </row>
  </sheetData>
  <hyperlinks>
    <hyperlink ref="C2" r:id="rId1" display="mailto:aditi.sharma@gmail.com" xr:uid="{D9667B33-690E-4A3C-9388-E44F4B47A147}"/>
    <hyperlink ref="C3" r:id="rId2" display="mailto:rajv@outlook.com" xr:uid="{7E385210-64B2-4E05-AD75-B997B9797200}"/>
    <hyperlink ref="C4" r:id="rId3" display="mailto:meena_k@company.org" xr:uid="{21DD55CC-A288-440C-81DF-ED7042CC95FE}"/>
    <hyperlink ref="C5" r:id="rId4" display="mailto:ks@work.net" xr:uid="{34E21C9A-3312-4730-9DCC-D9AD3CCB68D0}"/>
    <hyperlink ref="C6" r:id="rId5" display="mailto:sonia@domain.in" xr:uid="{B885EFFC-928C-4053-8993-6C3E052F956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FIRST</vt:lpstr>
      <vt:lpstr>SECOND</vt:lpstr>
      <vt:lpstr>THIRD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2026-10-16T10:49:26Z</dcterms:created>
  <dcterms:modified xsi:type="dcterms:W3CDTF">2026-10-16T16:14:25Z</dcterms:modified>
</cp:coreProperties>
</file>