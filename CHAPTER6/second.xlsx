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SH_CODE\FOCUSED\SHERYANS_DATASCIENCE\CHAPTER6\"/>
    </mc:Choice>
  </mc:AlternateContent>
  <xr:revisionPtr revIDLastSave="0" documentId="13_ncr:1_{EBC0CA55-C87A-4EEB-A304-D0DD89CEBED7}" xr6:coauthVersionLast="36" xr6:coauthVersionMax="36" xr10:uidLastSave="{00000000-0000-0000-0000-000000000000}"/>
  <bookViews>
    <workbookView xWindow="0" yWindow="0" windowWidth="17256" windowHeight="6636" xr2:uid="{72805D76-E78E-406D-A531-BADD0BB4D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4" i="1"/>
  <c r="I5" i="1"/>
  <c r="I6" i="1"/>
  <c r="I7" i="1"/>
  <c r="I8" i="1"/>
  <c r="I9" i="1"/>
  <c r="I10" i="1"/>
  <c r="I11" i="1"/>
  <c r="I2" i="1"/>
  <c r="I3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<sst xmlns="http://schemas.openxmlformats.org/spreadsheetml/2006/main" count="32" uniqueCount="27">
  <si>
    <t>Name</t>
  </si>
  <si>
    <t>Age</t>
  </si>
  <si>
    <t>Department</t>
  </si>
  <si>
    <t>Salary</t>
  </si>
  <si>
    <t>Performance</t>
  </si>
  <si>
    <t>Aarav Sharma</t>
  </si>
  <si>
    <t>IT</t>
  </si>
  <si>
    <t>Priya Karki</t>
  </si>
  <si>
    <t>HR</t>
  </si>
  <si>
    <t>Suman Rai</t>
  </si>
  <si>
    <t>Finance</t>
  </si>
  <si>
    <t>Anisha Thapa</t>
  </si>
  <si>
    <t>Marketing</t>
  </si>
  <si>
    <t>Rohan Gupta</t>
  </si>
  <si>
    <t>Sneha Adhikari</t>
  </si>
  <si>
    <t>Sales</t>
  </si>
  <si>
    <t>Bibek Joshi</t>
  </si>
  <si>
    <t>Nisha Tamang</t>
  </si>
  <si>
    <t>Kiran Shah</t>
  </si>
  <si>
    <t>Pooja Yadav</t>
  </si>
  <si>
    <t>HIGH/LOW</t>
  </si>
  <si>
    <t>AND IT/HIGH</t>
  </si>
  <si>
    <t>OR IT/HIGH</t>
  </si>
  <si>
    <t>IS HR</t>
  </si>
  <si>
    <t>S_GRADE</t>
  </si>
  <si>
    <t>FULL_FORM</t>
  </si>
  <si>
    <t>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</si>
</sst>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7A16-DE66-41CC-BBC1-0BDDB17EC869}">
  <dimension ref="A1:L11"/>
  <sheetViews>
    <sheetView tabSelected="1" topLeftCell="D1" workbookViewId="0">
      <selection activeCell="F18" sqref="F18"/>
    </sheetView>
  </sheetViews>
  <sheetFormatPr defaultRowHeight="14.4" x14ac:dyDescent="0.3"/>
  <cols>
    <col min="1" max="1" width="12.88671875" bestFit="1" customWidth="1"/>
    <col min="2" max="2" width="4.21875" bestFit="1" customWidth="1"/>
    <col min="3" max="3" width="11.109375" bestFit="1" customWidth="1"/>
    <col min="4" max="4" width="6.109375" bestFit="1" customWidth="1"/>
    <col min="5" max="5" width="11.88671875" bestFit="1" customWidth="1"/>
    <col min="6" max="6" width="10.109375" customWidth="1"/>
    <col min="7" max="7" width="11.88671875" customWidth="1"/>
    <col min="8" max="8" width="10.5546875" customWidth="1"/>
    <col min="9" max="9" width="8.88671875" customWidth="1"/>
    <col min="10" max="10" width="8.77734375" bestFit="1" customWidth="1"/>
    <col min="11" max="11" width="20.77734375" customWidth="1"/>
    <col min="12" max="12" width="9.44140625" bestFit="1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</row>
    <row r="2" spans="1:12" x14ac:dyDescent="0.3">
      <c r="A2" s="2" t="s">
        <v>5</v>
      </c>
      <c r="B2" s="2">
        <v>25</v>
      </c>
      <c r="C2" s="2" t="s">
        <v>6</v>
      </c>
      <c r="D2" s="2">
        <v>45000</v>
      </c>
      <c r="E2" s="2">
        <v>4.2</v>
      </c>
      <c r="F2" t="str">
        <f>IF(D2&gt;50000,"High","Low")</f>
        <v>Low</v>
      </c>
      <c r="G2" t="str">
        <f>IF(AND(D2&gt;50000,C2="IT"),"IT HIGH","OTHERS")</f>
        <v>OTHERS</v>
      </c>
      <c r="H2" t="str">
        <f>IF(OR(D2&gt;50000,C2="IT"),"YEAH","OTHERS")</f>
        <v>YEAH</v>
      </c>
      <c r="I2" t="str">
        <f>IF(NOT(C2="HR"),"OTHER","YES")</f>
        <v>OTHER</v>
      </c>
      <c r="J2" t="str">
        <f>_xlfn.IFS(D2&gt;70000,"A",D2&gt;60000,"B",D2&gt;50000,"C",TRUE,"D")</f>
        <v>D</v>
      </c>
      <c r="K2" t="str">
        <f>_xlfn.SWITCH(C2,
"HR","Human Resource",
"IT","Information Technology",C2)</f>
        <v>Information Technology</v>
      </c>
      <c r="L2" t="str">
        <f>IF(D2&gt;70000,"WOW",IF(D2&gt;60000,"GOOD",IF(D2&gt;50000,"OK","BAD")))</f>
        <v>BAD</v>
      </c>
    </row>
    <row r="3" spans="1:12" x14ac:dyDescent="0.3">
      <c r="A3" s="2" t="s">
        <v>7</v>
      </c>
      <c r="B3" s="2">
        <v>29</v>
      </c>
      <c r="C3" s="2" t="s">
        <v>8</v>
      </c>
      <c r="D3" s="2">
        <v>52000</v>
      </c>
      <c r="E3" s="2">
        <v>4.5</v>
      </c>
      <c r="F3" t="str">
        <f t="shared" ref="F3:F11" si="0">IF(D3&gt;50000,"High","Low")</f>
        <v>High</v>
      </c>
      <c r="G3" t="str">
        <f t="shared" ref="G3:G11" si="1">IF(AND(D3&gt;50000,C3="IT"),"IT HIGH","OTHERS")</f>
        <v>OTHERS</v>
      </c>
      <c r="H3" t="str">
        <f t="shared" ref="H3:H11" si="2">IF(OR(D3&gt;50000,C3="IT"),"YEAH","OTHERS")</f>
        <v>YEAH</v>
      </c>
      <c r="I3" t="str">
        <f>IF(NOT(C3="HR"),"OTHER","YES")</f>
        <v>YES</v>
      </c>
      <c r="J3" t="str">
        <f t="shared" ref="J3:J11" si="3">_xlfn.IFS(D3&gt;70000,"A",D3&gt;60000,"B",D3&gt;50000,"C",TRUE,"D")</f>
        <v>C</v>
      </c>
      <c r="K3" t="str">
        <f t="shared" ref="K3:K11" si="4">_xlfn.SWITCH(C3,
"HR","Human Resource",
"IT","Information Technology",C3)</f>
        <v>Human Resource</v>
      </c>
      <c r="L3" t="str">
        <f t="shared" ref="L3:L11" si="5">IF(D3&gt;70000,"WOW",IF(D3&gt;60000,"GOOD",IF(D3&gt;50000,"OK","BAD")))</f>
        <v>OK</v>
      </c>
    </row>
    <row r="4" spans="1:12" x14ac:dyDescent="0.3">
      <c r="A4" s="2" t="s">
        <v>9</v>
      </c>
      <c r="B4" s="2">
        <v>34</v>
      </c>
      <c r="C4" s="2" t="s">
        <v>10</v>
      </c>
      <c r="D4" s="2">
        <v>68000</v>
      </c>
      <c r="E4" s="2">
        <v>3.8</v>
      </c>
      <c r="F4" t="str">
        <f t="shared" si="0"/>
        <v>High</v>
      </c>
      <c r="G4" t="str">
        <f t="shared" si="1"/>
        <v>OTHERS</v>
      </c>
      <c r="H4" t="str">
        <f t="shared" si="2"/>
        <v>YEAH</v>
      </c>
      <c r="I4" t="str">
        <f t="shared" ref="I4:I11" si="6">IF(NOT(C4="HR"),"OTHER","YES")</f>
        <v>OTHER</v>
      </c>
      <c r="J4" t="str">
        <f t="shared" si="3"/>
        <v>B</v>
      </c>
      <c r="K4" t="str">
        <f t="shared" si="4"/>
        <v>Finance</v>
      </c>
      <c r="L4" t="str">
        <f t="shared" si="5"/>
        <v>GOOD</v>
      </c>
    </row>
    <row r="5" spans="1:12" x14ac:dyDescent="0.3">
      <c r="A5" s="2" t="s">
        <v>11</v>
      </c>
      <c r="B5" s="2">
        <v>27</v>
      </c>
      <c r="C5" s="2" t="s">
        <v>12</v>
      </c>
      <c r="D5" s="2">
        <v>47000</v>
      </c>
      <c r="E5" s="2">
        <v>4.0999999999999996</v>
      </c>
      <c r="F5" t="str">
        <f t="shared" si="0"/>
        <v>Low</v>
      </c>
      <c r="G5" t="str">
        <f t="shared" si="1"/>
        <v>OTHERS</v>
      </c>
      <c r="H5" t="str">
        <f t="shared" si="2"/>
        <v>OTHERS</v>
      </c>
      <c r="I5" t="str">
        <f t="shared" si="6"/>
        <v>OTHER</v>
      </c>
      <c r="J5" t="str">
        <f t="shared" si="3"/>
        <v>D</v>
      </c>
      <c r="K5" t="str">
        <f t="shared" si="4"/>
        <v>Marketing</v>
      </c>
      <c r="L5" t="str">
        <f t="shared" si="5"/>
        <v>BAD</v>
      </c>
    </row>
    <row r="6" spans="1:12" x14ac:dyDescent="0.3">
      <c r="A6" s="2" t="s">
        <v>13</v>
      </c>
      <c r="B6" s="2">
        <v>41</v>
      </c>
      <c r="C6" s="2" t="s">
        <v>6</v>
      </c>
      <c r="D6" s="2">
        <v>82000</v>
      </c>
      <c r="E6" s="2">
        <v>4.7</v>
      </c>
      <c r="F6" t="str">
        <f t="shared" si="0"/>
        <v>High</v>
      </c>
      <c r="G6" t="str">
        <f t="shared" si="1"/>
        <v>IT HIGH</v>
      </c>
      <c r="H6" t="str">
        <f t="shared" si="2"/>
        <v>YEAH</v>
      </c>
      <c r="I6" t="str">
        <f t="shared" si="6"/>
        <v>OTHER</v>
      </c>
      <c r="J6" t="str">
        <f t="shared" si="3"/>
        <v>A</v>
      </c>
      <c r="K6" t="str">
        <f t="shared" si="4"/>
        <v>Information Technology</v>
      </c>
      <c r="L6" t="str">
        <f t="shared" si="5"/>
        <v>WOW</v>
      </c>
    </row>
    <row r="7" spans="1:12" x14ac:dyDescent="0.3">
      <c r="A7" s="2" t="s">
        <v>14</v>
      </c>
      <c r="B7" s="2">
        <v>31</v>
      </c>
      <c r="C7" s="2" t="s">
        <v>15</v>
      </c>
      <c r="D7" s="2">
        <v>56000</v>
      </c>
      <c r="E7" s="2">
        <v>3.9</v>
      </c>
      <c r="F7" t="str">
        <f t="shared" si="0"/>
        <v>High</v>
      </c>
      <c r="G7" t="str">
        <f t="shared" si="1"/>
        <v>OTHERS</v>
      </c>
      <c r="H7" t="str">
        <f t="shared" si="2"/>
        <v>YEAH</v>
      </c>
      <c r="I7" t="str">
        <f t="shared" si="6"/>
        <v>OTHER</v>
      </c>
      <c r="J7" t="str">
        <f t="shared" si="3"/>
        <v>C</v>
      </c>
      <c r="K7" t="str">
        <f t="shared" si="4"/>
        <v>Sales</v>
      </c>
      <c r="L7" t="str">
        <f t="shared" si="5"/>
        <v>OK</v>
      </c>
    </row>
    <row r="8" spans="1:12" x14ac:dyDescent="0.3">
      <c r="A8" s="2" t="s">
        <v>16</v>
      </c>
      <c r="B8" s="2">
        <v>24</v>
      </c>
      <c r="C8" s="2" t="s">
        <v>10</v>
      </c>
      <c r="D8" s="2">
        <v>39000</v>
      </c>
      <c r="E8" s="2">
        <v>4</v>
      </c>
      <c r="F8" t="str">
        <f t="shared" si="0"/>
        <v>Low</v>
      </c>
      <c r="G8" t="str">
        <f t="shared" si="1"/>
        <v>OTHERS</v>
      </c>
      <c r="H8" t="str">
        <f t="shared" si="2"/>
        <v>OTHERS</v>
      </c>
      <c r="I8" t="str">
        <f t="shared" si="6"/>
        <v>OTHER</v>
      </c>
      <c r="J8" t="str">
        <f t="shared" si="3"/>
        <v>D</v>
      </c>
      <c r="K8" t="str">
        <f t="shared" si="4"/>
        <v>Finance</v>
      </c>
      <c r="L8" t="str">
        <f t="shared" si="5"/>
        <v>BAD</v>
      </c>
    </row>
    <row r="9" spans="1:12" x14ac:dyDescent="0.3">
      <c r="A9" s="2" t="s">
        <v>17</v>
      </c>
      <c r="B9" s="2">
        <v>36</v>
      </c>
      <c r="C9" s="2" t="s">
        <v>8</v>
      </c>
      <c r="D9" s="2">
        <v>61000</v>
      </c>
      <c r="E9" s="2">
        <v>4.3</v>
      </c>
      <c r="F9" t="str">
        <f t="shared" si="0"/>
        <v>High</v>
      </c>
      <c r="G9" t="str">
        <f t="shared" si="1"/>
        <v>OTHERS</v>
      </c>
      <c r="H9" t="str">
        <f t="shared" si="2"/>
        <v>YEAH</v>
      </c>
      <c r="I9" t="str">
        <f t="shared" si="6"/>
        <v>YES</v>
      </c>
      <c r="J9" t="str">
        <f t="shared" si="3"/>
        <v>B</v>
      </c>
      <c r="K9" t="str">
        <f t="shared" si="4"/>
        <v>Human Resource</v>
      </c>
      <c r="L9" t="str">
        <f t="shared" si="5"/>
        <v>GOOD</v>
      </c>
    </row>
    <row r="10" spans="1:12" x14ac:dyDescent="0.3">
      <c r="A10" s="2" t="s">
        <v>18</v>
      </c>
      <c r="B10" s="2">
        <v>30</v>
      </c>
      <c r="C10" s="2" t="s">
        <v>12</v>
      </c>
      <c r="D10" s="2">
        <v>50000</v>
      </c>
      <c r="E10" s="2">
        <v>3.7</v>
      </c>
      <c r="F10" t="str">
        <f t="shared" si="0"/>
        <v>Low</v>
      </c>
      <c r="G10" t="str">
        <f t="shared" si="1"/>
        <v>OTHERS</v>
      </c>
      <c r="H10" t="str">
        <f t="shared" si="2"/>
        <v>OTHERS</v>
      </c>
      <c r="I10" t="str">
        <f t="shared" si="6"/>
        <v>OTHER</v>
      </c>
      <c r="J10" t="str">
        <f t="shared" si="3"/>
        <v>D</v>
      </c>
      <c r="K10" t="str">
        <f t="shared" si="4"/>
        <v>Marketing</v>
      </c>
      <c r="L10" t="str">
        <f t="shared" si="5"/>
        <v>BAD</v>
      </c>
    </row>
    <row r="11" spans="1:12" x14ac:dyDescent="0.3">
      <c r="A11" s="2" t="s">
        <v>19</v>
      </c>
      <c r="B11" s="2">
        <v>28</v>
      </c>
      <c r="C11" s="2" t="s">
        <v>6</v>
      </c>
      <c r="D11" s="2">
        <v>54000</v>
      </c>
      <c r="E11" s="2">
        <v>4.4000000000000004</v>
      </c>
      <c r="F11" t="str">
        <f t="shared" si="0"/>
        <v>High</v>
      </c>
      <c r="G11" t="str">
        <f t="shared" si="1"/>
        <v>IT HIGH</v>
      </c>
      <c r="H11" t="str">
        <f t="shared" si="2"/>
        <v>YEAH</v>
      </c>
      <c r="I11" t="str">
        <f t="shared" si="6"/>
        <v>OTHER</v>
      </c>
      <c r="J11" t="str">
        <f t="shared" si="3"/>
        <v>C</v>
      </c>
      <c r="K11" t="str">
        <f t="shared" si="4"/>
        <v>Information Technology</v>
      </c>
      <c r="L11" t="str">
        <f t="shared" si="5"/>
        <v>OK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2026-10-16T10:49:26Z</dcterms:created>
  <dcterms:modified xsi:type="dcterms:W3CDTF">2026-10-16T15:04:47Z</dcterms:modified>
</cp:coreProperties>
</file>